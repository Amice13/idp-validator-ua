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88F98212-5989-4202-AC28-2F0783947D55}"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<sst xmlns="http://schemas.openxmlformats.org/spreadsheetml/2006/main" count="63359" uniqueCount="33679">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</sst>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14" fontId="1" fillId="0" borderId="1" xfId="0" applyNumberFormat="1" applyFont="1" applyBorder="1" applyAlignment="1">
      <alignment horizontal="center" vertical="center" wrapText="1"/>
    </xf>
  </cellXfs>
  <cellStyles count="1">
    <cellStyle name="Normal" xfId="0" builtinId="0"/>
  </cellStyles>
  <dxfs count="81">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80" dataDxfId="78" headerRowBorderDxfId="79" tableBorderDxfId="77" totalsRowBorderDxfId="76">
  <autoFilter ref="A8:AF9" xr:uid="{7BFAA509-C733-475B-A74D-F30DBBD3F86D}"/>
  <sortState xmlns:xlrd2="http://schemas.microsoft.com/office/spreadsheetml/2017/richdata2" ref="A9:AF9">
    <sortCondition ref="G9"/>
  </sortState>
  <tableColumns count="32">
    <tableColumn id="1" xr3:uid="{2D5E0CC1-421C-4776-AFE1-531CADA5E6EA}" name="1" dataDxfId="75"/>
    <tableColumn id="2" xr3:uid="{F89ADE37-12F0-492D-8C28-57607FD9BF35}" name="edrpou" dataDxfId="74">
      <calculatedColumnFormula array="1">TEXT(INDEX(MID(A9,ROW($1:$1000),1000),MATCH(TRUE,ISNUMBER(--MID(A9,ROW($1:$1000),8)),0)),"00000000")</calculatedColumnFormula>
    </tableColumn>
    <tableColumn id="3" xr3:uid="{A2E4B3E9-3FD8-45DB-9F00-1D2CC1E9ACA2}" name="edrpou_check" dataDxfId="73">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72"/>
    <tableColumn id="6" xr3:uid="{9BC8EA17-125A-49AF-BB24-3CCE6AB3E990}" name="3" dataDxfId="71"/>
    <tableColumn id="7" xr3:uid="{82956D0A-42F7-4956-B8DE-ED4235134CA9}" name="4" dataDxfId="70"/>
    <tableColumn id="8" xr3:uid="{55C3E3B8-9C13-4271-BF25-F62A6EC463D4}" name="5" dataDxfId="69"/>
    <tableColumn id="9" xr3:uid="{461AB30D-0158-4CB4-9AEF-6592FA3AAB16}" name="6" dataDxfId="68"/>
    <tableColumn id="10" xr3:uid="{8E1449FD-783D-4875-8C0B-71B362B3B5B1}" name="7" dataDxfId="67"/>
    <tableColumn id="11" xr3:uid="{3BEEE9F3-3D63-4D19-BA5D-50EAB3341FBD}" name="8" dataDxfId="66"/>
    <tableColumn id="12" xr3:uid="{68DB51E6-C4A7-4A73-B0F2-598F59827269}" name="9" dataDxfId="65"/>
    <tableColumn id="13" xr3:uid="{06BDD904-0C05-4EB4-9AB6-05833713D55F}" name="10" dataDxfId="64"/>
    <tableColumn id="14" xr3:uid="{CEE9FE7E-88F7-482B-82BB-CF41CC469047}" name="11" dataDxfId="63"/>
    <tableColumn id="15" xr3:uid="{253EACB6-CAAE-48A7-AAFC-AB9EE7898759}" name="12" dataDxfId="62"/>
    <tableColumn id="16" xr3:uid="{4A59C18E-3AC0-4770-987E-930115D73356}" name="13" dataDxfId="61"/>
    <tableColumn id="17" xr3:uid="{1090A053-C6E3-4D08-B841-3DE9CF8DBD35}" name="14" dataDxfId="60"/>
    <tableColumn id="18" xr3:uid="{8670A9CA-FBB9-4CC2-8ABB-3DF7C8F4EF5F}" name="15" dataDxfId="59"/>
    <tableColumn id="19" xr3:uid="{08B36A9B-91A3-4F0D-AAE6-8F5BF0458A9F}" name="16" dataDxfId="58"/>
    <tableColumn id="20" xr3:uid="{F2FFD126-9046-4CF9-97AF-6EE9FB387C6A}" name="17" dataDxfId="57"/>
    <tableColumn id="21" xr3:uid="{7A641FA7-D98A-455F-B05F-264C455F7860}" name="18" dataDxfId="56"/>
    <tableColumn id="22" xr3:uid="{E3E56FDE-7D48-4E31-A0FE-6A8E0455E103}" name="19" dataDxfId="55"/>
    <tableColumn id="23" xr3:uid="{3ADB2F1F-B1F4-40B6-B403-EC64E29F486F}" name="20" dataDxfId="54"/>
    <tableColumn id="24" xr3:uid="{CEC4C9F0-87FA-4E5A-A51E-5A4AD953E19B}" name="21" dataDxfId="53"/>
    <tableColumn id="25" xr3:uid="{E4B315BE-B047-4D13-9340-2BACA849E671}" name="22" dataDxfId="52"/>
    <tableColumn id="26" xr3:uid="{2CA6615F-1E74-4287-B42C-A8E7B15A30FA}" name="23" dataDxfId="51"/>
    <tableColumn id="27" xr3:uid="{57F5A50D-2B89-4279-8CDD-B1B776CA8223}" name="24" dataDxfId="50"/>
    <tableColumn id="28" xr3:uid="{4635D351-2EEE-4853-ABA0-79E5A603ED12}" name="25" dataDxfId="49"/>
    <tableColumn id="29" xr3:uid="{473AC97E-2947-4A40-A7AF-2CAA8DBA9DB8}" name="26" dataDxfId="48"/>
    <tableColumn id="30" xr3:uid="{D39AD032-6D67-4DB4-8E65-6E16AF31178B}" name="27" dataDxfId="47"/>
    <tableColumn id="31" xr3:uid="{080F6361-4F04-4FF5-A48B-90F8BD4AF3E1}" name="28" dataDxfId="46"/>
    <tableColumn id="32" xr3:uid="{2554CA2D-CF40-4435-A14C-57377ACB7246}" name="29" dataDxfId="45"/>
    <tableColumn id="33" xr3:uid="{060FE0BA-FEC8-4352-91A9-6D2A435F03E8}" name="30" dataDxfId="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6" totalsRowShown="0" dataDxfId="43">
  <autoFilter ref="D1:D26" xr:uid="{6A817570-7130-40FB-ADD5-C3408E1E5B30}"/>
  <tableColumns count="1">
    <tableColumn id="1" xr3:uid="{9A11FA02-1464-43E6-BEC2-C1CE097860B0}" name="Область"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7" totalsRowShown="0">
  <autoFilter ref="F1:G137" xr:uid="{2C8F345A-B83A-40F6-9B03-9F93C45F999D}"/>
  <tableColumns count="2">
    <tableColumn id="1" xr3:uid="{ACA3EE05-7A9A-4991-A828-FFDBE969582D}" name="Код області"/>
    <tableColumn id="2" xr3:uid="{524E0152-7197-416D-9A9F-70E17BB0D9AA}" name="Назва району" dataDxfId="4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3" totalsRowShown="0">
  <autoFilter ref="I1:J1773" xr:uid="{60C5E4E7-B3DA-40B6-AD32-EE8F2B303CFF}"/>
  <tableColumns count="2">
    <tableColumn id="1" xr3:uid="{8A22DC1A-6D46-43A6-A1C9-B9EFF988E84C}" name="Код району"/>
    <tableColumn id="2" xr3:uid="{6D25B50D-AD99-4DDA-8032-B43D355A08FA}" name="Назва громади" dataDxfId="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2" totalsRowShown="0">
  <autoFilter ref="L1:M29702" xr:uid="{05A99F2A-7A04-4557-A7D9-65D3D067F155}"/>
  <tableColumns count="2">
    <tableColumn id="1" xr3:uid="{4C624F11-A206-472A-961D-0DE2751F3A20}" name="Код громади"/>
    <tableColumn id="2" xr3:uid="{A1015AD0-11D9-4652-9C46-C3A0DC1FA66B}" name="Назва населеного пункту" dataDxfId="3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3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37">
  <autoFilter ref="U1:U53" xr:uid="{7547AC00-2836-4843-9E1C-41EEE827E34B}"/>
  <tableColumns count="1">
    <tableColumn id="1" xr3:uid="{5E10780D-5110-4D13-AD41-BE1BFA90B86D}" name="МФО ліквідованих банків" dataDxfId="3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5"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3" t="s">
        <v>0</v>
      </c>
      <c r="AB1" s="33"/>
      <c r="AC1" s="33"/>
      <c r="AD1" s="33"/>
      <c r="AE1" s="33"/>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4" t="s">
        <v>33649</v>
      </c>
      <c r="B3" s="35"/>
      <c r="C3" s="35"/>
      <c r="D3" s="36"/>
      <c r="E3" s="36"/>
      <c r="F3" s="36"/>
      <c r="G3" s="36"/>
      <c r="H3" s="36"/>
      <c r="I3" s="36"/>
      <c r="J3" s="36"/>
      <c r="K3" s="37"/>
      <c r="L3" s="36"/>
      <c r="M3" s="36"/>
      <c r="N3" s="36"/>
      <c r="O3" s="36"/>
      <c r="P3" s="36"/>
      <c r="Q3" s="36"/>
      <c r="R3" s="36"/>
      <c r="S3" s="36"/>
      <c r="T3" s="36"/>
      <c r="U3" s="36"/>
      <c r="V3" s="36"/>
      <c r="W3" s="36"/>
      <c r="X3" s="36"/>
      <c r="Y3" s="36"/>
      <c r="Z3" s="36"/>
      <c r="AA3" s="36"/>
      <c r="AB3" s="36"/>
      <c r="AC3" s="36"/>
      <c r="AD3" s="36"/>
      <c r="AE3" s="36"/>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8" t="s">
        <v>33644</v>
      </c>
      <c r="B5" s="30" t="s">
        <v>30</v>
      </c>
      <c r="C5" s="30" t="s">
        <v>31</v>
      </c>
      <c r="D5" s="38" t="s">
        <v>1</v>
      </c>
      <c r="E5" s="38" t="s">
        <v>33645</v>
      </c>
      <c r="F5" s="38"/>
      <c r="G5" s="38" t="s">
        <v>2</v>
      </c>
      <c r="H5" s="38" t="s">
        <v>3</v>
      </c>
      <c r="I5" s="38" t="s">
        <v>4</v>
      </c>
      <c r="J5" s="38" t="s">
        <v>5</v>
      </c>
      <c r="K5" s="40" t="s">
        <v>6</v>
      </c>
      <c r="L5" s="38" t="s">
        <v>33646</v>
      </c>
      <c r="M5" s="38"/>
      <c r="N5" s="38"/>
      <c r="O5" s="38"/>
      <c r="P5" s="38"/>
      <c r="Q5" s="38" t="s">
        <v>33647</v>
      </c>
      <c r="R5" s="38"/>
      <c r="S5" s="38"/>
      <c r="T5" s="38"/>
      <c r="U5" s="38"/>
      <c r="V5" s="38" t="s">
        <v>33651</v>
      </c>
      <c r="W5" s="38" t="s">
        <v>33652</v>
      </c>
      <c r="X5" s="38"/>
      <c r="Y5" s="38" t="s">
        <v>33653</v>
      </c>
      <c r="Z5" s="38"/>
      <c r="AA5" s="38" t="s">
        <v>33654</v>
      </c>
      <c r="AB5" s="38" t="s">
        <v>33655</v>
      </c>
      <c r="AC5" s="39" t="s">
        <v>33656</v>
      </c>
      <c r="AD5" s="39" t="s">
        <v>33657</v>
      </c>
      <c r="AE5" s="39"/>
      <c r="AF5" s="39"/>
    </row>
    <row r="6" spans="1:32" x14ac:dyDescent="0.55000000000000004">
      <c r="A6" s="38"/>
      <c r="B6" s="31"/>
      <c r="C6" s="31"/>
      <c r="D6" s="38"/>
      <c r="E6" s="38"/>
      <c r="F6" s="38"/>
      <c r="G6" s="38"/>
      <c r="H6" s="38"/>
      <c r="I6" s="38"/>
      <c r="J6" s="38"/>
      <c r="K6" s="40"/>
      <c r="L6" s="38" t="s">
        <v>7</v>
      </c>
      <c r="M6" s="38" t="s">
        <v>8</v>
      </c>
      <c r="N6" s="38" t="s">
        <v>33648</v>
      </c>
      <c r="O6" s="38" t="s">
        <v>33650</v>
      </c>
      <c r="P6" s="38" t="s">
        <v>9</v>
      </c>
      <c r="Q6" s="38" t="s">
        <v>7</v>
      </c>
      <c r="R6" s="38" t="s">
        <v>8</v>
      </c>
      <c r="S6" s="38" t="s">
        <v>33648</v>
      </c>
      <c r="T6" s="38" t="s">
        <v>33650</v>
      </c>
      <c r="U6" s="38" t="s">
        <v>9</v>
      </c>
      <c r="V6" s="38"/>
      <c r="W6" s="38" t="s">
        <v>10</v>
      </c>
      <c r="X6" s="38" t="s">
        <v>11</v>
      </c>
      <c r="Y6" s="38" t="s">
        <v>12</v>
      </c>
      <c r="Z6" s="38" t="s">
        <v>13</v>
      </c>
      <c r="AA6" s="38"/>
      <c r="AB6" s="38"/>
      <c r="AC6" s="39"/>
      <c r="AD6" s="39"/>
      <c r="AE6" s="39"/>
      <c r="AF6" s="39"/>
    </row>
    <row r="7" spans="1:32" ht="34.200000000000003" x14ac:dyDescent="0.55000000000000004">
      <c r="A7" s="38"/>
      <c r="B7" s="32"/>
      <c r="C7" s="32"/>
      <c r="D7" s="38"/>
      <c r="E7" s="10" t="s">
        <v>14</v>
      </c>
      <c r="F7" s="12" t="s">
        <v>15</v>
      </c>
      <c r="G7" s="38"/>
      <c r="H7" s="38"/>
      <c r="I7" s="38"/>
      <c r="J7" s="38"/>
      <c r="K7" s="40"/>
      <c r="L7" s="38"/>
      <c r="M7" s="38"/>
      <c r="N7" s="38"/>
      <c r="O7" s="38"/>
      <c r="P7" s="38"/>
      <c r="Q7" s="38"/>
      <c r="R7" s="38"/>
      <c r="S7" s="38"/>
      <c r="T7" s="38"/>
      <c r="U7" s="38"/>
      <c r="V7" s="38"/>
      <c r="W7" s="38"/>
      <c r="X7" s="38"/>
      <c r="Y7" s="38"/>
      <c r="Z7" s="38"/>
      <c r="AA7" s="38"/>
      <c r="AB7" s="38"/>
      <c r="AC7" s="39"/>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K5:K7"/>
    <mergeCell ref="S6:S7"/>
    <mergeCell ref="T6:T7"/>
    <mergeCell ref="U6:U7"/>
    <mergeCell ref="N6:N7"/>
    <mergeCell ref="O6:O7"/>
    <mergeCell ref="P6:P7"/>
    <mergeCell ref="Q6:Q7"/>
    <mergeCell ref="L5:P5"/>
    <mergeCell ref="L6:L7"/>
    <mergeCell ref="M6:M7"/>
    <mergeCell ref="W5:X5"/>
    <mergeCell ref="Y5:Z5"/>
    <mergeCell ref="R6:R7"/>
    <mergeCell ref="W6:W7"/>
    <mergeCell ref="X6:X7"/>
    <mergeCell ref="Y6:Y7"/>
    <mergeCell ref="Z6:Z7"/>
    <mergeCell ref="Q5:U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s>
  <conditionalFormatting sqref="A9:A1048576">
    <cfRule type="expression" dxfId="35" priority="35">
      <formula>NOT(OR(A9="",C9))</formula>
    </cfRule>
  </conditionalFormatting>
  <conditionalFormatting sqref="G9:I1048576">
    <cfRule type="expression" dxfId="34" priority="15">
      <formula>OR(LEFT(G9,1)=" ",RIGHT(G9,1)=" ")</formula>
    </cfRule>
    <cfRule type="expression" dxfId="33"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32"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31" priority="6">
      <formula>AND(I9&lt;&gt;"",NOT(OR(AND(J9="жіноча",OR(RIGHT(I9,4)="кизи",RIGHT(I9,4)="кізі",RIGHT(I9,4)="кизі",RIGHT(I9,4)="ївна",RIGHT(I9,4)="івна",RIGHT(I9,4)="овна",RIGHT(I9,4)="ічна")),AND(J9="чоловіча",OR(RIGHT(I9,4)="огли",RIGHT(I9,4)="ович",RIGHT(I9,4)="лліч")))))</formula>
    </cfRule>
    <cfRule type="expression" dxfId="30" priority="7">
      <formula>AND(V9&lt;&gt;"",NOT(IF(LEN(V9)=10,IF(MOD(LEFT(RIGHT(V9,2),1),2) = 0, "жіноча", "чоловіча"),"")=J9))</formula>
    </cfRule>
  </conditionalFormatting>
  <conditionalFormatting sqref="K9:K1048576">
    <cfRule type="expression" dxfId="29" priority="5">
      <formula>IFERROR(     OR(         IF(ISNUMBER(K9),K9,DATEVALUE(K9))&gt;TODAY(),         IF(ISNUMBER(K9),K9,DATEVALUE(K9))&lt;TODAY()-365*120,         AND(             IFERROR(VALUE(D9),0)=1,             IF(ISNUMBER(K9),K9,DATEVALUE(K9))&gt;EDATE(TODAY(),-216)         )     ),     TRUE )</formula>
    </cfRule>
    <cfRule type="expression" dxfId="28" priority="27">
      <formula>AND(     V9&lt;&gt;"",     IFERROR(         IF(LEN(V9)=10,DATE(1900,1,1)+LEFT(V9,5),"")         &lt;&gt;         IF(             ISNUMBER(K9),             K9,             DATE(RIGHT(K9,4),MID(K9,4,2),LEFT(K9,2))         ),         TRUE     ) )</formula>
    </cfRule>
    <cfRule type="expression" dxfId="27"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26" priority="33" stopIfTrue="1">
      <formula>NOT(AND(LEN(V9)=10, ISNUMBER(--V9)))</formula>
    </cfRule>
    <cfRule type="expression" dxfId="25" priority="34">
      <formula>OR(LEN(V9)&lt;&gt;10,NOT(MOD(MOD(-INT(MID(V9,1,1))+INT(MID(V9,2,1))*5+INT(MID(V9,3,1))*7+INT(MID(V9,4,1))*9+INT(MID(V9,5,1))*4+INT(MID(V9,6,1))*6+INT(MID(V9,7,1))*10+INT(MID(V9,8,1))*5+INT(MID(V9,9,1))*7,11),10)=INT(RIGHT(V9,1))))</formula>
    </cfRule>
  </conditionalFormatting>
  <conditionalFormatting sqref="X9:X1048576">
    <cfRule type="expression" dxfId="18"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24" priority="26">
      <formula>IFERROR(     OR(         IF(ISNUMBER(Y9),Y9,DATE(RIGHT(Y9,4),MID(Y9,4,2),LEFT(Y9,2)))&gt;TODAY(),         IF(ISNUMBER(Y9),Y9,DATE(RIGHT(Y9,4),MID(Y9,4,2),LEFT(Y9,2)))&lt;DATE(2014,1,1)     ),     TRUE )</formula>
    </cfRule>
  </conditionalFormatting>
  <conditionalFormatting sqref="Z9:Z1048576">
    <cfRule type="expression" dxfId="23" priority="12">
      <formula>NOT(AND(   LEN(Z9)=15,   MID(Z9,5,1)="-",   ISNUMBER(--LEFT(Z9,4)),   ISNUMBER(--RIGHT(Z9,10))))</formula>
    </cfRule>
  </conditionalFormatting>
  <conditionalFormatting sqref="AA9:AA1048576">
    <cfRule type="expression" dxfId="22" priority="2">
      <formula>NOT(AND(   LEN(SUBSTITUTE(AA9," ",""))=29,   LEFT(UPPER(SUBSTITUTE(AA9," ","")),2)="UA",   ISNUMBER(--MID(AA9,3,2)),   SUMPRODUCT(--ISNUMBER(FIND(MID(UPPER(SUBSTITUTE(AA9," ","")),ROW($5:$29),1),"ABCDEFGHIJKLMNOPQRSTUVWXYZ0123456789")))=25 ))</formula>
    </cfRule>
    <cfRule type="expression" dxfId="21" priority="76">
      <formula>COUNTIF(INDIRECT("Mfo[МФО ліквідованих банків]"), MID(AA9, 5, 6))&gt;0</formula>
    </cfRule>
  </conditionalFormatting>
  <conditionalFormatting sqref="AB9:AB1048576">
    <cfRule type="expression" dxfId="20" priority="9" stopIfTrue="1">
      <formula>NOT(AND(   LEN(AB9)=13,   LEFT(AB9,1)="+",   ISNUMBER(--RIGHT(AB9,12)) ))</formula>
    </cfRule>
    <cfRule type="expression" dxfId="19"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2"/>
  <sheetViews>
    <sheetView workbookViewId="0"/>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73</v>
      </c>
      <c r="F12" t="s">
        <v>226</v>
      </c>
      <c r="G12" s="20" t="s">
        <v>99</v>
      </c>
      <c r="I12" t="s">
        <v>2022</v>
      </c>
      <c r="J12" s="20" t="s">
        <v>260</v>
      </c>
      <c r="L12" t="s">
        <v>31862</v>
      </c>
      <c r="M12" s="20" t="s">
        <v>2168</v>
      </c>
      <c r="O12" t="s">
        <v>33641</v>
      </c>
      <c r="S12" s="22" t="s">
        <v>33672</v>
      </c>
      <c r="U12" s="22">
        <v>304706</v>
      </c>
    </row>
    <row r="13" spans="2:21" x14ac:dyDescent="0.55000000000000004">
      <c r="D13" s="20" t="s">
        <v>74</v>
      </c>
      <c r="F13" t="s">
        <v>226</v>
      </c>
      <c r="G13" s="20" t="s">
        <v>100</v>
      </c>
      <c r="I13" t="s">
        <v>2022</v>
      </c>
      <c r="J13" s="20" t="s">
        <v>261</v>
      </c>
      <c r="L13" t="s">
        <v>31862</v>
      </c>
      <c r="M13" s="20" t="s">
        <v>2169</v>
      </c>
      <c r="O13" t="s">
        <v>21</v>
      </c>
      <c r="S13" s="22" t="s">
        <v>33673</v>
      </c>
      <c r="U13" s="22">
        <v>304988</v>
      </c>
    </row>
    <row r="14" spans="2:21" x14ac:dyDescent="0.55000000000000004">
      <c r="D14" s="20" t="s">
        <v>75</v>
      </c>
      <c r="F14" t="s">
        <v>226</v>
      </c>
      <c r="G14" s="20" t="s">
        <v>101</v>
      </c>
      <c r="I14" t="s">
        <v>2022</v>
      </c>
      <c r="J14" s="20" t="s">
        <v>262</v>
      </c>
      <c r="L14" t="s">
        <v>31862</v>
      </c>
      <c r="M14" s="20" t="s">
        <v>2170</v>
      </c>
      <c r="O14" t="s">
        <v>33642</v>
      </c>
      <c r="S14" s="22" t="s">
        <v>33674</v>
      </c>
      <c r="U14" s="22">
        <v>305880</v>
      </c>
    </row>
    <row r="15" spans="2:21" x14ac:dyDescent="0.55000000000000004">
      <c r="D15" s="20" t="s">
        <v>76</v>
      </c>
      <c r="F15" t="s">
        <v>226</v>
      </c>
      <c r="G15" s="20" t="s">
        <v>102</v>
      </c>
      <c r="I15" t="s">
        <v>2022</v>
      </c>
      <c r="J15" s="20" t="s">
        <v>263</v>
      </c>
      <c r="L15" t="s">
        <v>31862</v>
      </c>
      <c r="M15" s="20" t="s">
        <v>2171</v>
      </c>
      <c r="S15" s="22" t="s">
        <v>33675</v>
      </c>
      <c r="U15" s="22">
        <v>307394</v>
      </c>
    </row>
    <row r="16" spans="2:21" x14ac:dyDescent="0.55000000000000004">
      <c r="D16" s="20" t="s">
        <v>77</v>
      </c>
      <c r="F16" t="s">
        <v>226</v>
      </c>
      <c r="G16" s="20" t="s">
        <v>103</v>
      </c>
      <c r="I16" t="s">
        <v>2022</v>
      </c>
      <c r="J16" s="20" t="s">
        <v>264</v>
      </c>
      <c r="L16" t="s">
        <v>31862</v>
      </c>
      <c r="M16" s="20" t="s">
        <v>2172</v>
      </c>
      <c r="S16" s="22" t="s">
        <v>33676</v>
      </c>
      <c r="U16" s="22">
        <v>312248</v>
      </c>
    </row>
    <row r="17" spans="4:21" x14ac:dyDescent="0.55000000000000004">
      <c r="D17" s="20" t="s">
        <v>78</v>
      </c>
      <c r="F17" t="s">
        <v>226</v>
      </c>
      <c r="G17" s="20" t="s">
        <v>104</v>
      </c>
      <c r="I17" t="s">
        <v>2022</v>
      </c>
      <c r="J17" s="20" t="s">
        <v>265</v>
      </c>
      <c r="L17" t="s">
        <v>31862</v>
      </c>
      <c r="M17" s="20" t="s">
        <v>2173</v>
      </c>
      <c r="S17" s="22" t="s">
        <v>33677</v>
      </c>
      <c r="U17" s="22">
        <v>313009</v>
      </c>
    </row>
    <row r="18" spans="4:21" x14ac:dyDescent="0.55000000000000004">
      <c r="D18" s="20" t="s">
        <v>79</v>
      </c>
      <c r="F18" t="s">
        <v>227</v>
      </c>
      <c r="G18" s="20" t="s">
        <v>105</v>
      </c>
      <c r="I18" t="s">
        <v>2022</v>
      </c>
      <c r="J18" s="20" t="s">
        <v>266</v>
      </c>
      <c r="L18" t="s">
        <v>31863</v>
      </c>
      <c r="M18" s="20" t="s">
        <v>2174</v>
      </c>
      <c r="S18" s="22" t="s">
        <v>33678</v>
      </c>
      <c r="U18" s="22">
        <v>319092</v>
      </c>
    </row>
    <row r="19" spans="4:21" x14ac:dyDescent="0.55000000000000004">
      <c r="D19" s="20" t="s">
        <v>80</v>
      </c>
      <c r="F19" t="s">
        <v>227</v>
      </c>
      <c r="G19" s="20" t="s">
        <v>106</v>
      </c>
      <c r="I19" t="s">
        <v>2022</v>
      </c>
      <c r="J19" s="20" t="s">
        <v>267</v>
      </c>
      <c r="L19" t="s">
        <v>31863</v>
      </c>
      <c r="M19" s="20" t="s">
        <v>2175</v>
      </c>
      <c r="S19" s="22"/>
      <c r="U19" s="22">
        <v>319111</v>
      </c>
    </row>
    <row r="20" spans="4:21" x14ac:dyDescent="0.55000000000000004">
      <c r="D20" s="20" t="s">
        <v>81</v>
      </c>
      <c r="F20" t="s">
        <v>227</v>
      </c>
      <c r="G20" s="20" t="s">
        <v>107</v>
      </c>
      <c r="I20" t="s">
        <v>2022</v>
      </c>
      <c r="J20" s="20" t="s">
        <v>268</v>
      </c>
      <c r="L20" t="s">
        <v>31863</v>
      </c>
      <c r="M20" s="20" t="s">
        <v>2176</v>
      </c>
      <c r="S20" s="22"/>
      <c r="U20" s="22">
        <v>320627</v>
      </c>
    </row>
    <row r="21" spans="4:21" x14ac:dyDescent="0.55000000000000004">
      <c r="D21" s="20" t="s">
        <v>82</v>
      </c>
      <c r="F21" t="s">
        <v>227</v>
      </c>
      <c r="G21" s="20" t="s">
        <v>108</v>
      </c>
      <c r="I21" t="s">
        <v>2022</v>
      </c>
      <c r="J21" s="20" t="s">
        <v>269</v>
      </c>
      <c r="L21" t="s">
        <v>31863</v>
      </c>
      <c r="M21" s="20" t="s">
        <v>2177</v>
      </c>
      <c r="S21" s="22"/>
      <c r="U21" s="22">
        <v>320702</v>
      </c>
    </row>
    <row r="22" spans="4:21" x14ac:dyDescent="0.55000000000000004">
      <c r="D22" s="20" t="s">
        <v>83</v>
      </c>
      <c r="F22" t="s">
        <v>228</v>
      </c>
      <c r="G22" s="20" t="s">
        <v>109</v>
      </c>
      <c r="I22" t="s">
        <v>2022</v>
      </c>
      <c r="J22" s="20" t="s">
        <v>270</v>
      </c>
      <c r="L22" t="s">
        <v>31863</v>
      </c>
      <c r="M22" s="20" t="s">
        <v>2178</v>
      </c>
      <c r="S22" s="22"/>
      <c r="U22" s="22">
        <v>320735</v>
      </c>
    </row>
    <row r="23" spans="4:21" x14ac:dyDescent="0.55000000000000004">
      <c r="D23" s="20" t="s">
        <v>84</v>
      </c>
      <c r="F23" t="s">
        <v>228</v>
      </c>
      <c r="G23" s="20" t="s">
        <v>110</v>
      </c>
      <c r="I23" t="s">
        <v>2022</v>
      </c>
      <c r="J23" s="20" t="s">
        <v>271</v>
      </c>
      <c r="L23" t="s">
        <v>31863</v>
      </c>
      <c r="M23" s="20" t="s">
        <v>2179</v>
      </c>
      <c r="S23" s="22"/>
      <c r="U23" s="22">
        <v>320854</v>
      </c>
    </row>
    <row r="24" spans="4:21" x14ac:dyDescent="0.55000000000000004">
      <c r="D24" s="20" t="s">
        <v>85</v>
      </c>
      <c r="F24" t="s">
        <v>228</v>
      </c>
      <c r="G24" s="20" t="s">
        <v>111</v>
      </c>
      <c r="I24" t="s">
        <v>2022</v>
      </c>
      <c r="J24" s="20" t="s">
        <v>272</v>
      </c>
      <c r="L24" t="s">
        <v>31864</v>
      </c>
      <c r="M24" s="20" t="s">
        <v>2180</v>
      </c>
      <c r="S24" s="22"/>
      <c r="U24" s="22">
        <v>321712</v>
      </c>
    </row>
    <row r="25" spans="4:21" x14ac:dyDescent="0.55000000000000004">
      <c r="D25" s="20" t="s">
        <v>86</v>
      </c>
      <c r="F25" t="s">
        <v>228</v>
      </c>
      <c r="G25" s="20" t="s">
        <v>112</v>
      </c>
      <c r="I25" t="s">
        <v>2022</v>
      </c>
      <c r="J25" s="20" t="s">
        <v>273</v>
      </c>
      <c r="L25" t="s">
        <v>31864</v>
      </c>
      <c r="M25" s="20" t="s">
        <v>2181</v>
      </c>
      <c r="S25" s="22"/>
      <c r="U25" s="22">
        <v>321767</v>
      </c>
    </row>
    <row r="26" spans="4:21" x14ac:dyDescent="0.55000000000000004">
      <c r="D26" s="20" t="s">
        <v>87</v>
      </c>
      <c r="F26" t="s">
        <v>228</v>
      </c>
      <c r="G26" s="20" t="s">
        <v>113</v>
      </c>
      <c r="I26" t="s">
        <v>2023</v>
      </c>
      <c r="J26" s="20" t="s">
        <v>274</v>
      </c>
      <c r="L26" t="s">
        <v>31865</v>
      </c>
      <c r="M26" s="20" t="s">
        <v>2182</v>
      </c>
      <c r="S26" s="22"/>
      <c r="U26" s="22">
        <v>322302</v>
      </c>
    </row>
    <row r="27" spans="4:21" x14ac:dyDescent="0.55000000000000004">
      <c r="F27" t="s">
        <v>228</v>
      </c>
      <c r="G27" s="20" t="s">
        <v>114</v>
      </c>
      <c r="I27" t="s">
        <v>2023</v>
      </c>
      <c r="J27" s="20" t="s">
        <v>275</v>
      </c>
      <c r="L27" t="s">
        <v>31865</v>
      </c>
      <c r="M27" s="20" t="s">
        <v>2183</v>
      </c>
      <c r="U27" s="22">
        <v>322465</v>
      </c>
    </row>
    <row r="28" spans="4:21" x14ac:dyDescent="0.55000000000000004">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I138" t="s">
        <v>2026</v>
      </c>
      <c r="J138" s="20" t="s">
        <v>386</v>
      </c>
      <c r="L138" t="s">
        <v>31888</v>
      </c>
      <c r="M138" s="20" t="s">
        <v>2294</v>
      </c>
    </row>
    <row r="139" spans="6:13" x14ac:dyDescent="0.55000000000000004">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L1774" t="s">
        <v>32192</v>
      </c>
      <c r="M1774" s="20" t="s">
        <v>3930</v>
      </c>
    </row>
    <row r="1775" spans="9:13" x14ac:dyDescent="0.55000000000000004">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2026-09-16T12:15:31Z</dcterms:modified>
  <cp:category/>
  <cp:contentStatus/>
</cp:coreProperties>
</file>